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-Ledesma\Desktop\Estratex\"/>
    </mc:Choice>
  </mc:AlternateContent>
  <xr:revisionPtr revIDLastSave="0" documentId="13_ncr:1_{6CDC1AAE-4DE8-48AE-8D4F-64A53F7550DF}" xr6:coauthVersionLast="47" xr6:coauthVersionMax="47" xr10:uidLastSave="{00000000-0000-0000-0000-000000000000}"/>
  <bookViews>
    <workbookView xWindow="-120" yWindow="-120" windowWidth="20730" windowHeight="11160" xr2:uid="{E028D735-2FCF-4B67-A6DA-5B8E06D67325}"/>
  </bookViews>
  <sheets>
    <sheet name="FORMULARIOS " sheetId="2" r:id="rId1"/>
    <sheet name="BALANC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1" l="1"/>
  <c r="J11" i="1"/>
  <c r="E26" i="1"/>
  <c r="J18" i="1"/>
  <c r="O26" i="1"/>
  <c r="J26" i="1"/>
  <c r="O11" i="1"/>
  <c r="O13" i="1"/>
  <c r="O18" i="1" s="1"/>
  <c r="J15" i="1"/>
  <c r="O14" i="1"/>
  <c r="O15" i="1" s="1"/>
  <c r="J14" i="1"/>
  <c r="E13" i="1"/>
  <c r="E18" i="1" s="1"/>
  <c r="E19" i="1" s="1"/>
  <c r="E15" i="1"/>
  <c r="E14" i="1"/>
  <c r="E11" i="1"/>
  <c r="J19" i="1" l="1"/>
  <c r="O19" i="1"/>
</calcChain>
</file>

<file path=xl/sharedStrings.xml><?xml version="1.0" encoding="utf-8"?>
<sst xmlns="http://schemas.openxmlformats.org/spreadsheetml/2006/main" count="254" uniqueCount="44">
  <si>
    <t>EVALUACION DE PROYECTO</t>
  </si>
  <si>
    <t>P&amp;L$</t>
  </si>
  <si>
    <t>FCE</t>
  </si>
  <si>
    <t>KPI</t>
  </si>
  <si>
    <t>Todos</t>
  </si>
  <si>
    <t>Tasa de crecimiento de los ingresos</t>
  </si>
  <si>
    <t>Ganancia Neta</t>
  </si>
  <si>
    <t>Margen de Utilidad Neta</t>
  </si>
  <si>
    <t>Margen de Utilidad Bruta</t>
  </si>
  <si>
    <t>Margen de Utilidad Operativa</t>
  </si>
  <si>
    <t>Retorno de la Iversión</t>
  </si>
  <si>
    <t xml:space="preserve">Ciclo de conversion  de Efectivo </t>
  </si>
  <si>
    <t>Clientes</t>
  </si>
  <si>
    <t xml:space="preserve">Todos </t>
  </si>
  <si>
    <t>Solvencia Economica</t>
  </si>
  <si>
    <t xml:space="preserve">Capacidad de pago </t>
  </si>
  <si>
    <t xml:space="preserve">Prestamos </t>
  </si>
  <si>
    <t xml:space="preserve">Prestamos Empresariales </t>
  </si>
  <si>
    <t xml:space="preserve">Eficiencia Operativa </t>
  </si>
  <si>
    <t>Lineas de Credito</t>
  </si>
  <si>
    <t xml:space="preserve">Tarjetas de credito </t>
  </si>
  <si>
    <t xml:space="preserve">Rentabilidad % </t>
  </si>
  <si>
    <t xml:space="preserve">inversiones </t>
  </si>
  <si>
    <t xml:space="preserve">Seguros </t>
  </si>
  <si>
    <t>Finaciamientos</t>
  </si>
  <si>
    <t>Desarrollo organizacional RH</t>
  </si>
  <si>
    <t>RH</t>
  </si>
  <si>
    <t>Cumpliemnto del plan de capacitación</t>
  </si>
  <si>
    <t>Expedientes Completos</t>
  </si>
  <si>
    <t>Empresa socialmente Responsable</t>
  </si>
  <si>
    <t xml:space="preserve">Innovación </t>
  </si>
  <si>
    <t xml:space="preserve">Diseño </t>
  </si>
  <si>
    <t>Ciberseguridad implementada con IA</t>
  </si>
  <si>
    <t>PERIODO PASADO</t>
  </si>
  <si>
    <t>PERIODO PASADO ENERO-DICIEMBRE</t>
  </si>
  <si>
    <t>NO</t>
  </si>
  <si>
    <t>PERIODO ACTUAL ENERO-DICIEMBRE</t>
  </si>
  <si>
    <t>KPI´S</t>
  </si>
  <si>
    <t xml:space="preserve">ACTUAL </t>
  </si>
  <si>
    <t xml:space="preserve">META  </t>
  </si>
  <si>
    <t>META ENERO-DICIEMBRE</t>
  </si>
  <si>
    <t>SI</t>
  </si>
  <si>
    <t>.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</si>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</sst>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2" fillId="3" borderId="0" xfId="0" applyFont="1" applyFill="1"/>
    <xf numFmtId="0" fontId="2" fillId="0" borderId="0" xfId="0" applyFont="1"/>
    <xf numFmtId="0" fontId="2" fillId="4" borderId="0" xfId="0" applyFont="1" applyFill="1"/>
    <xf numFmtId="0" fontId="3" fillId="0" borderId="0" xfId="0" applyFont="1" applyAlignment="1">
      <alignment horizontal="center" vertical="center"/>
    </xf>
    <xf numFmtId="9" fontId="2" fillId="0" borderId="0" xfId="2" applyFont="1"/>
    <xf numFmtId="0" fontId="2" fillId="0" borderId="0" xfId="0" applyFont="1" applyAlignment="1">
      <alignment horizontal="center"/>
    </xf>
    <xf numFmtId="0" fontId="2" fillId="0" borderId="0" xfId="0" applyFont="1" applyFill="1"/>
    <xf numFmtId="0" fontId="2" fillId="9" borderId="0" xfId="0" applyFont="1" applyFill="1"/>
    <xf numFmtId="0" fontId="2" fillId="0" borderId="1" xfId="0" applyFont="1" applyBorder="1"/>
    <xf numFmtId="0" fontId="2" fillId="9" borderId="2" xfId="0" applyFont="1" applyFill="1" applyBorder="1" applyAlignment="1">
      <alignment horizontal="center" vertical="center"/>
    </xf>
    <xf numFmtId="0" fontId="2" fillId="0" borderId="3" xfId="0" applyFont="1" applyFill="1" applyBorder="1"/>
    <xf numFmtId="44" fontId="2" fillId="0" borderId="4" xfId="1" applyFont="1" applyBorder="1"/>
    <xf numFmtId="0" fontId="2" fillId="0" borderId="4" xfId="0" applyFont="1" applyBorder="1"/>
    <xf numFmtId="9" fontId="2" fillId="0" borderId="4" xfId="2" applyFont="1" applyBorder="1"/>
    <xf numFmtId="49" fontId="2" fillId="0" borderId="4" xfId="0" applyNumberFormat="1" applyFont="1" applyBorder="1" applyAlignment="1">
      <alignment horizontal="center" vertical="center"/>
    </xf>
    <xf numFmtId="0" fontId="2" fillId="0" borderId="5" xfId="0" applyFont="1" applyFill="1" applyBorder="1"/>
    <xf numFmtId="49" fontId="2" fillId="0" borderId="6" xfId="0" applyNumberFormat="1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44" fontId="2" fillId="0" borderId="0" xfId="1" applyFont="1"/>
    <xf numFmtId="0" fontId="0" fillId="0" borderId="0" xfId="0" applyAlignment="1">
      <alignment vertical="center"/>
    </xf>
    <xf numFmtId="0" fontId="2" fillId="10" borderId="0" xfId="0" applyFont="1" applyFill="1" applyAlignment="1">
      <alignment vertical="center"/>
    </xf>
    <xf numFmtId="9" fontId="2" fillId="0" borderId="0" xfId="2" applyFont="1" applyAlignment="1">
      <alignment vertical="center"/>
    </xf>
    <xf numFmtId="44" fontId="2" fillId="0" borderId="0" xfId="1" applyFont="1" applyAlignment="1">
      <alignment vertical="center"/>
    </xf>
    <xf numFmtId="0" fontId="2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752475</xdr:colOff>
      <xdr:row>19</xdr:row>
      <xdr:rowOff>171450</xdr:rowOff>
    </xdr:from>
    <xdr:to>
      <xdr:col>6</xdr:col>
      <xdr:colOff>1657350</xdr:colOff>
      <xdr:row>22</xdr:row>
      <xdr:rowOff>28575</xdr:rowOff>
    </xdr:to>
    <xdr:sp macro="[0]!limpiaractual" textlink="">
      <xdr:nvSpPr>
        <xdr:cNvPr id="2" name="Rectángulo: biselado 1">
          <a:extLst>
            <a:ext uri="{FF2B5EF4-FFF2-40B4-BE49-F238E27FC236}">
              <a16:creationId xmlns:a16="http://schemas.microsoft.com/office/drawing/2014/main" id="{F725A784-D55D-4557-BA94-4B269F552678}"/>
            </a:ext>
          </a:extLst>
        </xdr:cNvPr>
        <xdr:cNvSpPr/>
      </xdr:nvSpPr>
      <xdr:spPr>
        <a:xfrm>
          <a:off x="7562850" y="3733800"/>
          <a:ext cx="1666875" cy="428625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LIMPIAR</a:t>
          </a:r>
          <a:r>
            <a:rPr lang="es-MX" sz="1100" baseline="0"/>
            <a:t> </a:t>
          </a:r>
          <a:endParaRPr lang="es-MX" sz="1100"/>
        </a:p>
      </xdr:txBody>
    </xdr:sp>
    <xdr:clientData/>
  </xdr:twoCellAnchor>
  <xdr:twoCellAnchor>
    <xdr:from>
      <xdr:col>6</xdr:col>
      <xdr:colOff>2286000</xdr:colOff>
      <xdr:row>19</xdr:row>
      <xdr:rowOff>152400</xdr:rowOff>
    </xdr:from>
    <xdr:to>
      <xdr:col>7</xdr:col>
      <xdr:colOff>1295400</xdr:colOff>
      <xdr:row>22</xdr:row>
      <xdr:rowOff>9525</xdr:rowOff>
    </xdr:to>
    <xdr:sp macro="" textlink="">
      <xdr:nvSpPr>
        <xdr:cNvPr id="3" name="Rectángulo: biselado 2">
          <a:extLst>
            <a:ext uri="{FF2B5EF4-FFF2-40B4-BE49-F238E27FC236}">
              <a16:creationId xmlns:a16="http://schemas.microsoft.com/office/drawing/2014/main" id="{19E34E0B-DBB4-4BC1-AC87-CE2A12206AD4}"/>
            </a:ext>
          </a:extLst>
        </xdr:cNvPr>
        <xdr:cNvSpPr/>
      </xdr:nvSpPr>
      <xdr:spPr>
        <a:xfrm>
          <a:off x="9858375" y="3714750"/>
          <a:ext cx="1666875" cy="428625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GUARDAR </a:t>
          </a:r>
        </a:p>
      </xdr:txBody>
    </xdr:sp>
    <xdr:clientData/>
  </xdr:twoCellAnchor>
  <xdr:twoCellAnchor>
    <xdr:from>
      <xdr:col>10</xdr:col>
      <xdr:colOff>190500</xdr:colOff>
      <xdr:row>19</xdr:row>
      <xdr:rowOff>152400</xdr:rowOff>
    </xdr:from>
    <xdr:to>
      <xdr:col>10</xdr:col>
      <xdr:colOff>1857375</xdr:colOff>
      <xdr:row>22</xdr:row>
      <xdr:rowOff>9525</xdr:rowOff>
    </xdr:to>
    <xdr:sp macro="[0]!limpiarmeta" textlink="">
      <xdr:nvSpPr>
        <xdr:cNvPr id="4" name="Rectángulo: biselado 3">
          <a:extLst>
            <a:ext uri="{FF2B5EF4-FFF2-40B4-BE49-F238E27FC236}">
              <a16:creationId xmlns:a16="http://schemas.microsoft.com/office/drawing/2014/main" id="{0829F8D6-78AC-4EF8-A8A7-FA486467D0F9}"/>
            </a:ext>
          </a:extLst>
        </xdr:cNvPr>
        <xdr:cNvSpPr/>
      </xdr:nvSpPr>
      <xdr:spPr>
        <a:xfrm>
          <a:off x="13420725" y="3714750"/>
          <a:ext cx="1666875" cy="428625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LIMPIAR</a:t>
          </a:r>
          <a:r>
            <a:rPr lang="es-MX" sz="1100" baseline="0"/>
            <a:t> </a:t>
          </a:r>
          <a:endParaRPr lang="es-MX" sz="1100"/>
        </a:p>
      </xdr:txBody>
    </xdr:sp>
    <xdr:clientData/>
  </xdr:twoCellAnchor>
  <xdr:twoCellAnchor>
    <xdr:from>
      <xdr:col>11</xdr:col>
      <xdr:colOff>9525</xdr:colOff>
      <xdr:row>19</xdr:row>
      <xdr:rowOff>180975</xdr:rowOff>
    </xdr:from>
    <xdr:to>
      <xdr:col>11</xdr:col>
      <xdr:colOff>1676400</xdr:colOff>
      <xdr:row>22</xdr:row>
      <xdr:rowOff>38100</xdr:rowOff>
    </xdr:to>
    <xdr:sp macro="[0]!copiarmeta" textlink="">
      <xdr:nvSpPr>
        <xdr:cNvPr id="5" name="Rectángulo: biselado 4">
          <a:extLst>
            <a:ext uri="{FF2B5EF4-FFF2-40B4-BE49-F238E27FC236}">
              <a16:creationId xmlns:a16="http://schemas.microsoft.com/office/drawing/2014/main" id="{534FEB9B-D43B-4532-968F-870ADA52C20A}"/>
            </a:ext>
          </a:extLst>
        </xdr:cNvPr>
        <xdr:cNvSpPr/>
      </xdr:nvSpPr>
      <xdr:spPr>
        <a:xfrm>
          <a:off x="15897225" y="3743325"/>
          <a:ext cx="1666875" cy="428625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GUARDAR </a:t>
          </a:r>
        </a:p>
      </xdr:txBody>
    </xdr:sp>
    <xdr:clientData/>
  </xdr:twoCellAnchor>
  <xdr:twoCellAnchor>
    <xdr:from>
      <xdr:col>2</xdr:col>
      <xdr:colOff>161925</xdr:colOff>
      <xdr:row>19</xdr:row>
      <xdr:rowOff>123825</xdr:rowOff>
    </xdr:from>
    <xdr:to>
      <xdr:col>2</xdr:col>
      <xdr:colOff>1828800</xdr:colOff>
      <xdr:row>21</xdr:row>
      <xdr:rowOff>171450</xdr:rowOff>
    </xdr:to>
    <xdr:sp macro="" textlink="">
      <xdr:nvSpPr>
        <xdr:cNvPr id="6" name="Rectángulo: biselado 5">
          <a:extLst>
            <a:ext uri="{FF2B5EF4-FFF2-40B4-BE49-F238E27FC236}">
              <a16:creationId xmlns:a16="http://schemas.microsoft.com/office/drawing/2014/main" id="{696D4E08-5D31-4BAC-8775-A5098F784F0B}"/>
            </a:ext>
          </a:extLst>
        </xdr:cNvPr>
        <xdr:cNvSpPr/>
      </xdr:nvSpPr>
      <xdr:spPr>
        <a:xfrm>
          <a:off x="1685925" y="3686175"/>
          <a:ext cx="1666875" cy="428625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LIMPIAR</a:t>
          </a:r>
          <a:r>
            <a:rPr lang="es-MX" sz="1100" baseline="0"/>
            <a:t> </a:t>
          </a:r>
          <a:endParaRPr lang="es-MX" sz="1100"/>
        </a:p>
      </xdr:txBody>
    </xdr:sp>
    <xdr:clientData/>
  </xdr:twoCellAnchor>
  <xdr:twoCellAnchor>
    <xdr:from>
      <xdr:col>6</xdr:col>
      <xdr:colOff>2276475</xdr:colOff>
      <xdr:row>19</xdr:row>
      <xdr:rowOff>152400</xdr:rowOff>
    </xdr:from>
    <xdr:to>
      <xdr:col>7</xdr:col>
      <xdr:colOff>1285875</xdr:colOff>
      <xdr:row>22</xdr:row>
      <xdr:rowOff>9525</xdr:rowOff>
    </xdr:to>
    <xdr:sp macro="[0]!copiaractual" textlink="">
      <xdr:nvSpPr>
        <xdr:cNvPr id="7" name="Rectángulo: biselado 6">
          <a:extLst>
            <a:ext uri="{FF2B5EF4-FFF2-40B4-BE49-F238E27FC236}">
              <a16:creationId xmlns:a16="http://schemas.microsoft.com/office/drawing/2014/main" id="{D0D6D6A5-AF5B-4B62-8806-D6231FB6372D}"/>
            </a:ext>
          </a:extLst>
        </xdr:cNvPr>
        <xdr:cNvSpPr/>
      </xdr:nvSpPr>
      <xdr:spPr>
        <a:xfrm>
          <a:off x="9848850" y="3714750"/>
          <a:ext cx="1666875" cy="428625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GUARDAR </a:t>
          </a:r>
        </a:p>
      </xdr:txBody>
    </xdr:sp>
    <xdr:clientData/>
  </xdr:twoCellAnchor>
  <xdr:twoCellAnchor>
    <xdr:from>
      <xdr:col>2</xdr:col>
      <xdr:colOff>152400</xdr:colOff>
      <xdr:row>19</xdr:row>
      <xdr:rowOff>123825</xdr:rowOff>
    </xdr:from>
    <xdr:to>
      <xdr:col>2</xdr:col>
      <xdr:colOff>1819275</xdr:colOff>
      <xdr:row>21</xdr:row>
      <xdr:rowOff>171450</xdr:rowOff>
    </xdr:to>
    <xdr:sp macro="[0]!limpiarpasado" textlink="">
      <xdr:nvSpPr>
        <xdr:cNvPr id="8" name="Rectángulo: biselado 7">
          <a:extLst>
            <a:ext uri="{FF2B5EF4-FFF2-40B4-BE49-F238E27FC236}">
              <a16:creationId xmlns:a16="http://schemas.microsoft.com/office/drawing/2014/main" id="{7C734E48-9893-4AD0-858D-CADFD4D370AE}"/>
            </a:ext>
          </a:extLst>
        </xdr:cNvPr>
        <xdr:cNvSpPr/>
      </xdr:nvSpPr>
      <xdr:spPr>
        <a:xfrm>
          <a:off x="1676400" y="3686175"/>
          <a:ext cx="1666875" cy="428625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LIMPIAR</a:t>
          </a:r>
          <a:r>
            <a:rPr lang="es-MX" sz="1100" baseline="0"/>
            <a:t> </a:t>
          </a:r>
          <a:endParaRPr lang="es-MX" sz="1100"/>
        </a:p>
      </xdr:txBody>
    </xdr:sp>
    <xdr:clientData/>
  </xdr:twoCellAnchor>
  <xdr:twoCellAnchor>
    <xdr:from>
      <xdr:col>3</xdr:col>
      <xdr:colOff>76200</xdr:colOff>
      <xdr:row>19</xdr:row>
      <xdr:rowOff>133350</xdr:rowOff>
    </xdr:from>
    <xdr:to>
      <xdr:col>3</xdr:col>
      <xdr:colOff>1743075</xdr:colOff>
      <xdr:row>21</xdr:row>
      <xdr:rowOff>180975</xdr:rowOff>
    </xdr:to>
    <xdr:sp macro="[0]!Copiarpasado" textlink="">
      <xdr:nvSpPr>
        <xdr:cNvPr id="9" name="Rectángulo: biselado 8">
          <a:extLst>
            <a:ext uri="{FF2B5EF4-FFF2-40B4-BE49-F238E27FC236}">
              <a16:creationId xmlns:a16="http://schemas.microsoft.com/office/drawing/2014/main" id="{E69CB32B-29E0-4C84-AD22-618B31C6188E}"/>
            </a:ext>
          </a:extLst>
        </xdr:cNvPr>
        <xdr:cNvSpPr/>
      </xdr:nvSpPr>
      <xdr:spPr>
        <a:xfrm>
          <a:off x="4257675" y="3695700"/>
          <a:ext cx="1666875" cy="428625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GUARDAR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8BD4A-A02D-4BF0-B3C3-800D64969FEB}">
  <dimension ref="C5:L22"/>
  <sheetViews>
    <sheetView tabSelected="1" topLeftCell="A4" zoomScale="90" zoomScaleNormal="90" workbookViewId="0">
      <selection activeCell="H20" sqref="H20"/>
    </sheetView>
  </sheetViews>
  <sheetFormatPr baseColWidth="10" defaultRowHeight="15" x14ac:dyDescent="0.25"/>
  <cols>
    <col min="3" max="3" width="39.85546875" bestFit="1" customWidth="1"/>
    <col min="4" max="4" width="28" customWidth="1"/>
    <col min="7" max="7" width="39.85546875" bestFit="1" customWidth="1"/>
    <col min="8" max="8" width="22.140625" bestFit="1" customWidth="1"/>
    <col min="11" max="11" width="39.85546875" bestFit="1" customWidth="1"/>
    <col min="12" max="12" width="28" customWidth="1"/>
  </cols>
  <sheetData>
    <row r="5" spans="3:12" ht="15.75" x14ac:dyDescent="0.25">
      <c r="C5" s="9" t="s">
        <v>37</v>
      </c>
      <c r="D5" s="10" t="s">
        <v>33</v>
      </c>
      <c r="G5" s="9" t="s">
        <v>37</v>
      </c>
      <c r="H5" s="18" t="s">
        <v>38</v>
      </c>
      <c r="K5" s="9" t="s">
        <v>37</v>
      </c>
      <c r="L5" s="20" t="s">
        <v>39</v>
      </c>
    </row>
    <row r="6" spans="3:12" ht="15.75" x14ac:dyDescent="0.25">
      <c r="C6" s="11" t="s">
        <v>5</v>
      </c>
      <c r="D6" s="12">
        <v>999</v>
      </c>
      <c r="G6" s="11" t="s">
        <v>5</v>
      </c>
      <c r="H6" s="12">
        <v>350000</v>
      </c>
      <c r="K6" s="11" t="s">
        <v>5</v>
      </c>
      <c r="L6" s="12">
        <v>1000000000</v>
      </c>
    </row>
    <row r="7" spans="3:12" ht="15.75" x14ac:dyDescent="0.25">
      <c r="C7" s="11" t="s">
        <v>6</v>
      </c>
      <c r="D7" s="12">
        <v>999</v>
      </c>
      <c r="G7" s="11" t="s">
        <v>6</v>
      </c>
      <c r="H7" s="12">
        <v>60000</v>
      </c>
      <c r="K7" s="11" t="s">
        <v>6</v>
      </c>
      <c r="L7" s="12">
        <v>1000000</v>
      </c>
    </row>
    <row r="8" spans="3:12" ht="15.75" x14ac:dyDescent="0.25">
      <c r="C8" s="7" t="s">
        <v>8</v>
      </c>
      <c r="D8" s="12">
        <v>999</v>
      </c>
      <c r="G8" s="7" t="s">
        <v>8</v>
      </c>
      <c r="H8" s="12">
        <v>8000000</v>
      </c>
      <c r="K8" s="7" t="s">
        <v>8</v>
      </c>
      <c r="L8" s="12">
        <v>1000000</v>
      </c>
    </row>
    <row r="9" spans="3:12" ht="15.75" x14ac:dyDescent="0.25">
      <c r="C9" s="11" t="s">
        <v>16</v>
      </c>
      <c r="D9" s="13">
        <v>9</v>
      </c>
      <c r="G9" s="11" t="s">
        <v>16</v>
      </c>
      <c r="H9" s="13">
        <v>6</v>
      </c>
      <c r="K9" s="11" t="s">
        <v>16</v>
      </c>
      <c r="L9" s="13">
        <v>12</v>
      </c>
    </row>
    <row r="10" spans="3:12" ht="15.75" x14ac:dyDescent="0.25">
      <c r="C10" s="11" t="s">
        <v>17</v>
      </c>
      <c r="D10" s="13">
        <v>9</v>
      </c>
      <c r="G10" s="11" t="s">
        <v>17</v>
      </c>
      <c r="H10" s="13">
        <v>6</v>
      </c>
      <c r="K10" s="11" t="s">
        <v>17</v>
      </c>
      <c r="L10" s="13">
        <v>12</v>
      </c>
    </row>
    <row r="11" spans="3:12" ht="15.75" x14ac:dyDescent="0.25">
      <c r="C11" s="11" t="s">
        <v>19</v>
      </c>
      <c r="D11" s="13">
        <v>9</v>
      </c>
      <c r="G11" s="11" t="s">
        <v>19</v>
      </c>
      <c r="H11" s="13">
        <v>6</v>
      </c>
      <c r="K11" s="11" t="s">
        <v>19</v>
      </c>
      <c r="L11" s="13">
        <v>12</v>
      </c>
    </row>
    <row r="12" spans="3:12" ht="15.75" x14ac:dyDescent="0.25">
      <c r="C12" s="11" t="s">
        <v>20</v>
      </c>
      <c r="D12" s="13">
        <v>9</v>
      </c>
      <c r="G12" s="11" t="s">
        <v>20</v>
      </c>
      <c r="H12" s="13">
        <v>5</v>
      </c>
      <c r="K12" s="11" t="s">
        <v>20</v>
      </c>
      <c r="L12" s="13">
        <v>12</v>
      </c>
    </row>
    <row r="13" spans="3:12" ht="15.75" x14ac:dyDescent="0.25">
      <c r="C13" s="11" t="s">
        <v>22</v>
      </c>
      <c r="D13" s="14">
        <v>0.09</v>
      </c>
      <c r="F13" t="s">
        <v>42</v>
      </c>
      <c r="G13" s="11" t="s">
        <v>22</v>
      </c>
      <c r="H13" s="14">
        <v>0.78</v>
      </c>
      <c r="K13" s="11" t="s">
        <v>22</v>
      </c>
      <c r="L13" s="14">
        <v>1</v>
      </c>
    </row>
    <row r="14" spans="3:12" ht="15.75" x14ac:dyDescent="0.25">
      <c r="C14" s="11" t="s">
        <v>23</v>
      </c>
      <c r="D14" s="14">
        <v>0.09</v>
      </c>
      <c r="G14" s="11" t="s">
        <v>23</v>
      </c>
      <c r="H14" s="14">
        <v>0.6</v>
      </c>
      <c r="K14" s="11" t="s">
        <v>23</v>
      </c>
      <c r="L14" s="14">
        <v>1</v>
      </c>
    </row>
    <row r="15" spans="3:12" ht="15.75" x14ac:dyDescent="0.25">
      <c r="C15" s="11" t="s">
        <v>24</v>
      </c>
      <c r="D15" s="15" t="s">
        <v>35</v>
      </c>
      <c r="G15" s="11" t="s">
        <v>24</v>
      </c>
      <c r="H15" s="15" t="s">
        <v>41</v>
      </c>
      <c r="K15" s="11" t="s">
        <v>24</v>
      </c>
      <c r="L15" s="15" t="s">
        <v>41</v>
      </c>
    </row>
    <row r="16" spans="3:12" ht="15.75" x14ac:dyDescent="0.25">
      <c r="C16" s="11" t="s">
        <v>27</v>
      </c>
      <c r="D16" s="15" t="s">
        <v>35</v>
      </c>
      <c r="G16" s="11" t="s">
        <v>27</v>
      </c>
      <c r="H16" s="15" t="s">
        <v>41</v>
      </c>
      <c r="K16" s="11" t="s">
        <v>27</v>
      </c>
      <c r="L16" s="15" t="s">
        <v>41</v>
      </c>
    </row>
    <row r="17" spans="3:12" ht="15.75" x14ac:dyDescent="0.25">
      <c r="C17" s="11" t="s">
        <v>28</v>
      </c>
      <c r="D17" s="15" t="s">
        <v>43</v>
      </c>
      <c r="G17" s="11" t="s">
        <v>28</v>
      </c>
      <c r="H17" s="15" t="s">
        <v>41</v>
      </c>
      <c r="K17" s="11" t="s">
        <v>28</v>
      </c>
      <c r="L17" s="15" t="s">
        <v>41</v>
      </c>
    </row>
    <row r="18" spans="3:12" ht="15.75" x14ac:dyDescent="0.25">
      <c r="C18" s="11" t="s">
        <v>29</v>
      </c>
      <c r="D18" s="15" t="s">
        <v>35</v>
      </c>
      <c r="G18" s="11" t="s">
        <v>29</v>
      </c>
      <c r="H18" s="15" t="s">
        <v>41</v>
      </c>
      <c r="K18" s="11" t="s">
        <v>29</v>
      </c>
      <c r="L18" s="15" t="s">
        <v>41</v>
      </c>
    </row>
    <row r="19" spans="3:12" ht="15.75" x14ac:dyDescent="0.25">
      <c r="C19" s="16" t="s">
        <v>32</v>
      </c>
      <c r="D19" s="17" t="s">
        <v>35</v>
      </c>
      <c r="G19" s="16" t="s">
        <v>32</v>
      </c>
      <c r="H19" s="15" t="s">
        <v>41</v>
      </c>
      <c r="K19" s="16" t="s">
        <v>32</v>
      </c>
      <c r="L19" s="17" t="s">
        <v>41</v>
      </c>
    </row>
    <row r="22" spans="3:12" x14ac:dyDescent="0.25">
      <c r="G22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E4060-6CBD-4006-A6A8-8579D41E42C2}">
  <dimension ref="C2:O42"/>
  <sheetViews>
    <sheetView topLeftCell="A7" zoomScale="70" zoomScaleNormal="70" workbookViewId="0">
      <selection activeCell="J12" sqref="J12"/>
    </sheetView>
  </sheetViews>
  <sheetFormatPr baseColWidth="10" defaultRowHeight="15" x14ac:dyDescent="0.25"/>
  <cols>
    <col min="3" max="3" width="9" bestFit="1" customWidth="1"/>
    <col min="4" max="4" width="39.85546875" bestFit="1" customWidth="1"/>
    <col min="5" max="5" width="44.42578125" bestFit="1" customWidth="1"/>
    <col min="9" max="9" width="39.85546875" bestFit="1" customWidth="1"/>
    <col min="10" max="10" width="43.7109375" style="22" bestFit="1" customWidth="1"/>
    <col min="13" max="13" width="9" bestFit="1" customWidth="1"/>
    <col min="14" max="14" width="39.85546875" bestFit="1" customWidth="1"/>
    <col min="15" max="15" width="29.7109375" bestFit="1" customWidth="1"/>
  </cols>
  <sheetData>
    <row r="2" spans="3:15" x14ac:dyDescent="0.25">
      <c r="C2" s="31" t="s">
        <v>0</v>
      </c>
      <c r="D2" s="31"/>
      <c r="E2" s="31"/>
      <c r="F2" s="31"/>
      <c r="G2" s="31"/>
    </row>
    <row r="3" spans="3:15" x14ac:dyDescent="0.25">
      <c r="C3" s="31"/>
      <c r="D3" s="31"/>
      <c r="E3" s="31"/>
      <c r="F3" s="31"/>
      <c r="G3" s="31"/>
    </row>
    <row r="4" spans="3:15" x14ac:dyDescent="0.25">
      <c r="C4" s="31"/>
      <c r="D4" s="31"/>
      <c r="E4" s="31"/>
      <c r="F4" s="31"/>
      <c r="G4" s="31"/>
    </row>
    <row r="5" spans="3:15" ht="18" x14ac:dyDescent="0.25">
      <c r="C5" s="4"/>
      <c r="D5" s="4"/>
      <c r="E5" s="4"/>
      <c r="F5" s="4"/>
      <c r="G5" s="4"/>
    </row>
    <row r="7" spans="3:15" ht="15.75" x14ac:dyDescent="0.25">
      <c r="C7" s="26" t="s">
        <v>1</v>
      </c>
      <c r="D7" s="26"/>
      <c r="E7" s="8" t="s">
        <v>34</v>
      </c>
      <c r="H7" s="26" t="s">
        <v>1</v>
      </c>
      <c r="I7" s="26"/>
      <c r="J7" s="23" t="s">
        <v>36</v>
      </c>
      <c r="M7" s="26" t="s">
        <v>1</v>
      </c>
      <c r="N7" s="26"/>
      <c r="O7" s="19" t="s">
        <v>40</v>
      </c>
    </row>
    <row r="8" spans="3:15" ht="15.75" x14ac:dyDescent="0.25">
      <c r="C8" s="1" t="s">
        <v>2</v>
      </c>
      <c r="D8" s="1" t="s">
        <v>3</v>
      </c>
      <c r="E8" s="2"/>
      <c r="H8" s="1" t="s">
        <v>2</v>
      </c>
      <c r="I8" s="1" t="s">
        <v>3</v>
      </c>
      <c r="J8" s="1"/>
      <c r="M8" s="1" t="s">
        <v>2</v>
      </c>
      <c r="N8" s="1" t="s">
        <v>3</v>
      </c>
      <c r="O8" s="2"/>
    </row>
    <row r="9" spans="3:15" ht="15.75" x14ac:dyDescent="0.25">
      <c r="C9" s="2" t="s">
        <v>4</v>
      </c>
      <c r="D9" s="3" t="s">
        <v>5</v>
      </c>
      <c r="E9" s="12">
        <v>999</v>
      </c>
      <c r="H9" s="2" t="s">
        <v>4</v>
      </c>
      <c r="I9" s="3" t="s">
        <v>5</v>
      </c>
      <c r="J9" s="12">
        <v>350000</v>
      </c>
      <c r="M9" s="2" t="s">
        <v>4</v>
      </c>
      <c r="N9" s="3" t="s">
        <v>5</v>
      </c>
      <c r="O9" s="12">
        <v>1000000000</v>
      </c>
    </row>
    <row r="10" spans="3:15" ht="15.75" x14ac:dyDescent="0.25">
      <c r="C10" s="2" t="s">
        <v>4</v>
      </c>
      <c r="D10" s="3" t="s">
        <v>6</v>
      </c>
      <c r="E10" s="12">
        <v>999</v>
      </c>
      <c r="H10" s="2" t="s">
        <v>4</v>
      </c>
      <c r="I10" s="3" t="s">
        <v>6</v>
      </c>
      <c r="J10" s="12">
        <v>60000</v>
      </c>
      <c r="M10" s="2" t="s">
        <v>4</v>
      </c>
      <c r="N10" s="3" t="s">
        <v>6</v>
      </c>
      <c r="O10" s="12">
        <v>1000000</v>
      </c>
    </row>
    <row r="11" spans="3:15" ht="15.75" x14ac:dyDescent="0.25">
      <c r="C11" s="2" t="s">
        <v>4</v>
      </c>
      <c r="D11" s="7" t="s">
        <v>7</v>
      </c>
      <c r="E11" s="5">
        <f>+E9/E10*0.5</f>
        <v>0.5</v>
      </c>
      <c r="H11" s="2" t="s">
        <v>4</v>
      </c>
      <c r="I11" s="2" t="s">
        <v>7</v>
      </c>
      <c r="J11" s="24">
        <f>+J9/J10*0.1</f>
        <v>0.58333333333333337</v>
      </c>
      <c r="M11" s="2" t="s">
        <v>4</v>
      </c>
      <c r="N11" s="2" t="s">
        <v>7</v>
      </c>
      <c r="O11" s="5">
        <f>O9/O10*0.5</f>
        <v>500</v>
      </c>
    </row>
    <row r="12" spans="3:15" ht="15.75" x14ac:dyDescent="0.25">
      <c r="C12" s="2" t="s">
        <v>4</v>
      </c>
      <c r="D12" s="3" t="s">
        <v>8</v>
      </c>
      <c r="E12" s="12">
        <v>999</v>
      </c>
      <c r="H12" s="2" t="s">
        <v>4</v>
      </c>
      <c r="I12" s="3" t="s">
        <v>8</v>
      </c>
      <c r="J12" s="12">
        <v>8000000</v>
      </c>
      <c r="M12" s="2" t="s">
        <v>4</v>
      </c>
      <c r="N12" s="3" t="s">
        <v>8</v>
      </c>
      <c r="O12" s="12">
        <v>1000000</v>
      </c>
    </row>
    <row r="13" spans="3:15" ht="15.75" x14ac:dyDescent="0.25">
      <c r="C13" s="2" t="s">
        <v>4</v>
      </c>
      <c r="D13" s="2" t="s">
        <v>9</v>
      </c>
      <c r="E13" s="5">
        <f>+E12/E10*0.5</f>
        <v>0.5</v>
      </c>
      <c r="H13" s="2" t="s">
        <v>4</v>
      </c>
      <c r="I13" s="2" t="s">
        <v>9</v>
      </c>
      <c r="J13" s="24">
        <f>+J10/J12*0.05</f>
        <v>3.7500000000000001E-4</v>
      </c>
      <c r="M13" s="2" t="s">
        <v>4</v>
      </c>
      <c r="N13" s="2" t="s">
        <v>9</v>
      </c>
      <c r="O13" s="5">
        <f>+O10/O12*0.05</f>
        <v>0.05</v>
      </c>
    </row>
    <row r="14" spans="3:15" ht="15.75" x14ac:dyDescent="0.25">
      <c r="C14" s="2" t="s">
        <v>4</v>
      </c>
      <c r="D14" s="2" t="s">
        <v>10</v>
      </c>
      <c r="E14" s="21">
        <f>+E9-E10/E10*100</f>
        <v>899</v>
      </c>
      <c r="H14" s="2" t="s">
        <v>4</v>
      </c>
      <c r="I14" s="2" t="s">
        <v>10</v>
      </c>
      <c r="J14" s="25">
        <f>+J9-J10/J10*100</f>
        <v>349900</v>
      </c>
      <c r="M14" s="2" t="s">
        <v>4</v>
      </c>
      <c r="N14" s="2" t="s">
        <v>10</v>
      </c>
      <c r="O14" s="21">
        <f>+O9-O10/O10*100</f>
        <v>999999900</v>
      </c>
    </row>
    <row r="15" spans="3:15" ht="15.75" x14ac:dyDescent="0.25">
      <c r="C15" s="2" t="s">
        <v>4</v>
      </c>
      <c r="D15" s="2" t="s">
        <v>11</v>
      </c>
      <c r="E15" s="5">
        <f>+E14*0.05/E9</f>
        <v>4.4994994994995E-2</v>
      </c>
      <c r="H15" s="2" t="s">
        <v>4</v>
      </c>
      <c r="I15" s="2" t="s">
        <v>11</v>
      </c>
      <c r="J15" s="24">
        <f>+J14*0.05/J9</f>
        <v>4.9985714285714286E-2</v>
      </c>
      <c r="M15" s="2" t="s">
        <v>4</v>
      </c>
      <c r="N15" s="2" t="s">
        <v>11</v>
      </c>
      <c r="O15" s="5">
        <f>+O14*0.05/O9</f>
        <v>4.9999994999999998E-2</v>
      </c>
    </row>
    <row r="16" spans="3:15" ht="15.75" x14ac:dyDescent="0.25">
      <c r="C16" s="27" t="s">
        <v>12</v>
      </c>
      <c r="D16" s="27"/>
      <c r="E16" s="2"/>
      <c r="H16" s="27" t="s">
        <v>12</v>
      </c>
      <c r="I16" s="27"/>
      <c r="J16" s="27"/>
      <c r="K16" s="27"/>
      <c r="M16" s="27" t="s">
        <v>12</v>
      </c>
      <c r="N16" s="27"/>
      <c r="O16" s="2"/>
    </row>
    <row r="17" spans="3:15" ht="15.75" x14ac:dyDescent="0.25">
      <c r="C17" s="1" t="s">
        <v>2</v>
      </c>
      <c r="D17" s="1" t="s">
        <v>3</v>
      </c>
      <c r="E17" s="2"/>
      <c r="H17" s="1" t="s">
        <v>2</v>
      </c>
      <c r="I17" s="1" t="s">
        <v>3</v>
      </c>
      <c r="J17" s="1"/>
      <c r="M17" s="1" t="s">
        <v>2</v>
      </c>
      <c r="N17" s="1" t="s">
        <v>3</v>
      </c>
      <c r="O17" s="2"/>
    </row>
    <row r="18" spans="3:15" ht="15.75" x14ac:dyDescent="0.25">
      <c r="C18" s="2" t="s">
        <v>13</v>
      </c>
      <c r="D18" s="2" t="s">
        <v>14</v>
      </c>
      <c r="E18" s="5">
        <f>+$E$13*0.4/$E$10</f>
        <v>2.0020020020020021E-4</v>
      </c>
      <c r="H18" s="2" t="s">
        <v>13</v>
      </c>
      <c r="I18" s="2" t="s">
        <v>14</v>
      </c>
      <c r="J18" s="24">
        <f>+$J$13*0.4/$J$10</f>
        <v>2.5000000000000001E-9</v>
      </c>
      <c r="M18" s="2" t="s">
        <v>13</v>
      </c>
      <c r="N18" s="2" t="s">
        <v>14</v>
      </c>
      <c r="O18" s="5">
        <f>+$O$13*0.4/$O$10</f>
        <v>2.0000000000000004E-8</v>
      </c>
    </row>
    <row r="19" spans="3:15" ht="15.75" x14ac:dyDescent="0.25">
      <c r="C19" s="2" t="s">
        <v>13</v>
      </c>
      <c r="D19" s="2" t="s">
        <v>15</v>
      </c>
      <c r="E19" s="5">
        <f ca="1">RANDBETWEEN(E18,E15)</f>
        <v>1</v>
      </c>
      <c r="H19" s="2" t="s">
        <v>13</v>
      </c>
      <c r="I19" s="2" t="s">
        <v>15</v>
      </c>
      <c r="J19" s="24">
        <f ca="1">RANDBETWEEN(J18,J15)</f>
        <v>1</v>
      </c>
      <c r="M19" s="2" t="s">
        <v>13</v>
      </c>
      <c r="N19" s="2" t="s">
        <v>15</v>
      </c>
      <c r="O19" s="5">
        <f ca="1">RANDBETWEEN(O18,O15)</f>
        <v>1</v>
      </c>
    </row>
    <row r="20" spans="3:15" ht="15.75" x14ac:dyDescent="0.25">
      <c r="C20" s="2" t="s">
        <v>13</v>
      </c>
      <c r="D20" s="3" t="s">
        <v>16</v>
      </c>
      <c r="E20" s="13">
        <v>9</v>
      </c>
      <c r="H20" s="2" t="s">
        <v>13</v>
      </c>
      <c r="I20" s="3" t="s">
        <v>16</v>
      </c>
      <c r="J20" s="13">
        <v>6</v>
      </c>
      <c r="M20" s="2" t="s">
        <v>13</v>
      </c>
      <c r="N20" s="3" t="s">
        <v>16</v>
      </c>
      <c r="O20" s="13">
        <v>12</v>
      </c>
    </row>
    <row r="21" spans="3:15" ht="15.75" x14ac:dyDescent="0.25">
      <c r="C21" s="2" t="s">
        <v>13</v>
      </c>
      <c r="D21" s="3" t="s">
        <v>17</v>
      </c>
      <c r="E21" s="13">
        <v>9</v>
      </c>
      <c r="H21" s="2" t="s">
        <v>13</v>
      </c>
      <c r="I21" s="3" t="s">
        <v>17</v>
      </c>
      <c r="J21" s="13">
        <v>6</v>
      </c>
      <c r="M21" s="2" t="s">
        <v>13</v>
      </c>
      <c r="N21" s="3" t="s">
        <v>17</v>
      </c>
      <c r="O21" s="13">
        <v>12</v>
      </c>
    </row>
    <row r="22" spans="3:15" ht="15.75" x14ac:dyDescent="0.25">
      <c r="C22" s="28" t="s">
        <v>18</v>
      </c>
      <c r="D22" s="28"/>
      <c r="E22" s="2"/>
      <c r="H22" s="28" t="s">
        <v>18</v>
      </c>
      <c r="I22" s="28"/>
      <c r="J22" s="28"/>
      <c r="K22" s="28"/>
      <c r="M22" s="28" t="s">
        <v>18</v>
      </c>
      <c r="N22" s="28"/>
      <c r="O22" s="2"/>
    </row>
    <row r="23" spans="3:15" ht="15.75" x14ac:dyDescent="0.25">
      <c r="C23" s="1" t="s">
        <v>2</v>
      </c>
      <c r="D23" s="1" t="s">
        <v>3</v>
      </c>
      <c r="E23" s="2"/>
      <c r="H23" s="1" t="s">
        <v>2</v>
      </c>
      <c r="I23" s="1" t="s">
        <v>3</v>
      </c>
      <c r="J23" s="1"/>
      <c r="M23" s="1" t="s">
        <v>2</v>
      </c>
      <c r="N23" s="1" t="s">
        <v>3</v>
      </c>
      <c r="O23" s="2"/>
    </row>
    <row r="24" spans="3:15" ht="15.75" x14ac:dyDescent="0.25">
      <c r="C24" s="2" t="s">
        <v>4</v>
      </c>
      <c r="D24" s="3" t="s">
        <v>19</v>
      </c>
      <c r="E24" s="13">
        <v>9</v>
      </c>
      <c r="H24" s="2" t="s">
        <v>4</v>
      </c>
      <c r="I24" s="3" t="s">
        <v>19</v>
      </c>
      <c r="J24" s="13">
        <v>6</v>
      </c>
      <c r="M24" s="2" t="s">
        <v>4</v>
      </c>
      <c r="N24" s="3" t="s">
        <v>19</v>
      </c>
      <c r="O24" s="13">
        <v>12</v>
      </c>
    </row>
    <row r="25" spans="3:15" ht="15.75" x14ac:dyDescent="0.25">
      <c r="C25" s="2" t="s">
        <v>4</v>
      </c>
      <c r="D25" s="3" t="s">
        <v>20</v>
      </c>
      <c r="E25" s="13">
        <v>9</v>
      </c>
      <c r="H25" s="2" t="s">
        <v>4</v>
      </c>
      <c r="I25" s="3" t="s">
        <v>20</v>
      </c>
      <c r="J25" s="13">
        <v>5</v>
      </c>
      <c r="M25" s="2" t="s">
        <v>4</v>
      </c>
      <c r="N25" s="3" t="s">
        <v>20</v>
      </c>
      <c r="O25" s="13">
        <v>12</v>
      </c>
    </row>
    <row r="26" spans="3:15" ht="15.75" x14ac:dyDescent="0.25">
      <c r="C26" s="2" t="s">
        <v>4</v>
      </c>
      <c r="D26" s="2" t="s">
        <v>21</v>
      </c>
      <c r="E26" s="5">
        <f>+E24*0.1</f>
        <v>0.9</v>
      </c>
      <c r="H26" s="2" t="s">
        <v>4</v>
      </c>
      <c r="I26" s="2" t="s">
        <v>21</v>
      </c>
      <c r="J26" s="24">
        <f>+J24*0.3</f>
        <v>1.7999999999999998</v>
      </c>
      <c r="M26" s="2" t="s">
        <v>4</v>
      </c>
      <c r="N26" s="2" t="s">
        <v>21</v>
      </c>
      <c r="O26" s="5">
        <f>+O24*0.3</f>
        <v>3.5999999999999996</v>
      </c>
    </row>
    <row r="27" spans="3:15" ht="15.75" x14ac:dyDescent="0.25">
      <c r="C27" s="2" t="s">
        <v>4</v>
      </c>
      <c r="D27" s="3" t="s">
        <v>22</v>
      </c>
      <c r="E27" s="14">
        <v>0.09</v>
      </c>
      <c r="H27" s="2" t="s">
        <v>4</v>
      </c>
      <c r="I27" s="3" t="s">
        <v>22</v>
      </c>
      <c r="J27" s="14">
        <v>0.78</v>
      </c>
      <c r="M27" s="2" t="s">
        <v>4</v>
      </c>
      <c r="N27" s="3" t="s">
        <v>22</v>
      </c>
      <c r="O27" s="14">
        <v>1</v>
      </c>
    </row>
    <row r="28" spans="3:15" ht="15.75" x14ac:dyDescent="0.25">
      <c r="C28" s="2" t="s">
        <v>4</v>
      </c>
      <c r="D28" s="3" t="s">
        <v>23</v>
      </c>
      <c r="E28" s="14">
        <v>0.09</v>
      </c>
      <c r="H28" s="2" t="s">
        <v>4</v>
      </c>
      <c r="I28" s="3" t="s">
        <v>23</v>
      </c>
      <c r="J28" s="14">
        <v>0.6</v>
      </c>
      <c r="M28" s="2" t="s">
        <v>4</v>
      </c>
      <c r="N28" s="3" t="s">
        <v>23</v>
      </c>
      <c r="O28" s="14">
        <v>1</v>
      </c>
    </row>
    <row r="29" spans="3:15" ht="15.75" x14ac:dyDescent="0.25">
      <c r="C29" s="2" t="s">
        <v>4</v>
      </c>
      <c r="D29" s="3" t="s">
        <v>24</v>
      </c>
      <c r="E29" s="15" t="s">
        <v>35</v>
      </c>
      <c r="H29" s="2" t="s">
        <v>4</v>
      </c>
      <c r="I29" s="3" t="s">
        <v>24</v>
      </c>
      <c r="J29" s="15" t="s">
        <v>41</v>
      </c>
      <c r="M29" s="2" t="s">
        <v>4</v>
      </c>
      <c r="N29" s="3" t="s">
        <v>24</v>
      </c>
      <c r="O29" s="15" t="s">
        <v>41</v>
      </c>
    </row>
    <row r="30" spans="3:15" ht="15.75" x14ac:dyDescent="0.25">
      <c r="C30" s="29" t="s">
        <v>25</v>
      </c>
      <c r="D30" s="29"/>
      <c r="E30" s="6"/>
      <c r="H30" s="29" t="s">
        <v>25</v>
      </c>
      <c r="I30" s="29"/>
      <c r="J30" s="29"/>
      <c r="K30" s="29"/>
      <c r="M30" s="29" t="s">
        <v>25</v>
      </c>
      <c r="N30" s="29"/>
      <c r="O30" s="6"/>
    </row>
    <row r="31" spans="3:15" ht="15.75" x14ac:dyDescent="0.25">
      <c r="C31" s="1" t="s">
        <v>2</v>
      </c>
      <c r="D31" s="1" t="s">
        <v>3</v>
      </c>
      <c r="E31" s="6"/>
      <c r="H31" s="1" t="s">
        <v>2</v>
      </c>
      <c r="I31" s="1" t="s">
        <v>3</v>
      </c>
      <c r="J31" s="1"/>
      <c r="M31" s="1" t="s">
        <v>2</v>
      </c>
      <c r="N31" s="1" t="s">
        <v>3</v>
      </c>
      <c r="O31" s="6"/>
    </row>
    <row r="32" spans="3:15" ht="15.75" x14ac:dyDescent="0.25">
      <c r="C32" s="2" t="s">
        <v>26</v>
      </c>
      <c r="D32" s="3" t="s">
        <v>27</v>
      </c>
      <c r="E32" s="15" t="s">
        <v>35</v>
      </c>
      <c r="H32" s="2" t="s">
        <v>26</v>
      </c>
      <c r="I32" s="3" t="s">
        <v>27</v>
      </c>
      <c r="J32" s="15" t="s">
        <v>41</v>
      </c>
      <c r="M32" s="2" t="s">
        <v>26</v>
      </c>
      <c r="N32" s="3" t="s">
        <v>27</v>
      </c>
      <c r="O32" s="15" t="s">
        <v>41</v>
      </c>
    </row>
    <row r="33" spans="3:15" ht="15.75" x14ac:dyDescent="0.25">
      <c r="C33" s="2" t="s">
        <v>26</v>
      </c>
      <c r="D33" s="3" t="s">
        <v>28</v>
      </c>
      <c r="E33" s="15" t="s">
        <v>43</v>
      </c>
      <c r="H33" s="2" t="s">
        <v>26</v>
      </c>
      <c r="I33" s="3" t="s">
        <v>28</v>
      </c>
      <c r="J33" s="15" t="s">
        <v>41</v>
      </c>
      <c r="M33" s="2" t="s">
        <v>26</v>
      </c>
      <c r="N33" s="3" t="s">
        <v>28</v>
      </c>
      <c r="O33" s="15" t="s">
        <v>41</v>
      </c>
    </row>
    <row r="34" spans="3:15" ht="15.75" x14ac:dyDescent="0.25">
      <c r="C34" s="2" t="s">
        <v>26</v>
      </c>
      <c r="D34" s="3" t="s">
        <v>29</v>
      </c>
      <c r="E34" s="15" t="s">
        <v>35</v>
      </c>
      <c r="H34" s="2" t="s">
        <v>26</v>
      </c>
      <c r="I34" s="3" t="s">
        <v>29</v>
      </c>
      <c r="J34" s="15" t="s">
        <v>41</v>
      </c>
      <c r="M34" s="2" t="s">
        <v>26</v>
      </c>
      <c r="N34" s="3" t="s">
        <v>29</v>
      </c>
      <c r="O34" s="15" t="s">
        <v>41</v>
      </c>
    </row>
    <row r="35" spans="3:15" ht="15.75" x14ac:dyDescent="0.25">
      <c r="C35" s="30" t="s">
        <v>30</v>
      </c>
      <c r="D35" s="30"/>
      <c r="E35" s="6"/>
      <c r="H35" s="30" t="s">
        <v>30</v>
      </c>
      <c r="I35" s="30"/>
      <c r="J35" s="30"/>
      <c r="K35" s="30"/>
      <c r="M35" s="30" t="s">
        <v>30</v>
      </c>
      <c r="N35" s="30"/>
      <c r="O35" s="6"/>
    </row>
    <row r="36" spans="3:15" ht="15.75" x14ac:dyDescent="0.25">
      <c r="C36" s="1" t="s">
        <v>2</v>
      </c>
      <c r="D36" s="1" t="s">
        <v>3</v>
      </c>
      <c r="E36" s="6"/>
      <c r="H36" s="1" t="s">
        <v>2</v>
      </c>
      <c r="I36" s="1" t="s">
        <v>3</v>
      </c>
      <c r="J36" s="1"/>
      <c r="M36" s="1" t="s">
        <v>2</v>
      </c>
      <c r="N36" s="1" t="s">
        <v>3</v>
      </c>
      <c r="O36" s="6"/>
    </row>
    <row r="37" spans="3:15" ht="15.75" x14ac:dyDescent="0.25">
      <c r="C37" s="2" t="s">
        <v>31</v>
      </c>
      <c r="D37" s="3" t="s">
        <v>32</v>
      </c>
      <c r="E37" s="17" t="s">
        <v>35</v>
      </c>
      <c r="H37" s="2" t="s">
        <v>31</v>
      </c>
      <c r="I37" s="3" t="s">
        <v>32</v>
      </c>
      <c r="J37" s="15" t="s">
        <v>41</v>
      </c>
      <c r="M37" s="2" t="s">
        <v>31</v>
      </c>
      <c r="N37" s="3" t="s">
        <v>32</v>
      </c>
      <c r="O37" s="17" t="s">
        <v>41</v>
      </c>
    </row>
    <row r="38" spans="3:15" ht="15.75" x14ac:dyDescent="0.25">
      <c r="E38" s="12"/>
    </row>
    <row r="41" spans="3:15" ht="15.75" x14ac:dyDescent="0.25">
      <c r="D41" s="12">
        <v>999</v>
      </c>
    </row>
    <row r="42" spans="3:15" ht="15.75" x14ac:dyDescent="0.25">
      <c r="D42" s="12">
        <v>999</v>
      </c>
    </row>
  </sheetData>
  <mergeCells count="20">
    <mergeCell ref="C35:D35"/>
    <mergeCell ref="J16:K16"/>
    <mergeCell ref="J22:K22"/>
    <mergeCell ref="J30:K30"/>
    <mergeCell ref="J35:K35"/>
    <mergeCell ref="C2:G4"/>
    <mergeCell ref="C7:D7"/>
    <mergeCell ref="C16:D16"/>
    <mergeCell ref="C22:D22"/>
    <mergeCell ref="C30:D30"/>
    <mergeCell ref="M7:N7"/>
    <mergeCell ref="M16:N16"/>
    <mergeCell ref="M22:N22"/>
    <mergeCell ref="M30:N30"/>
    <mergeCell ref="M35:N35"/>
    <mergeCell ref="H7:I7"/>
    <mergeCell ref="H16:I16"/>
    <mergeCell ref="H22:I22"/>
    <mergeCell ref="H30:I30"/>
    <mergeCell ref="H35:I35"/>
  </mergeCells>
  <conditionalFormatting sqref="O28">
    <cfRule type="iconSet" priority="5">
      <iconSet iconSet="4Arrows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09064E84-D3B4-4AC2-94E1-38D81201F3E2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O9</xm:sqref>
        </x14:conditionalFormatting>
        <x14:conditionalFormatting xmlns:xm="http://schemas.microsoft.com/office/excel/2006/main">
          <x14:cfRule type="iconSet" priority="14" id="{E093AE96-D38D-4837-936A-5BDA37876F3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O10</xm:sqref>
        </x14:conditionalFormatting>
        <x14:conditionalFormatting xmlns:xm="http://schemas.microsoft.com/office/excel/2006/main">
          <x14:cfRule type="iconSet" priority="13" id="{09BA37C1-BE03-494F-A38E-F10AD31F4372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O11</xm:sqref>
        </x14:conditionalFormatting>
        <x14:conditionalFormatting xmlns:xm="http://schemas.microsoft.com/office/excel/2006/main">
          <x14:cfRule type="iconSet" priority="12" id="{8179AE62-4E5F-4654-BAD9-D8C9135FA803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O12</xm:sqref>
        </x14:conditionalFormatting>
        <x14:conditionalFormatting xmlns:xm="http://schemas.microsoft.com/office/excel/2006/main">
          <x14:cfRule type="iconSet" priority="11" id="{2C4AD930-536F-40E5-9B72-9C5672EF1321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O13</xm:sqref>
        </x14:conditionalFormatting>
        <x14:conditionalFormatting xmlns:xm="http://schemas.microsoft.com/office/excel/2006/main">
          <x14:cfRule type="iconSet" priority="10" id="{4C6FC8E8-43C6-4DBE-B445-0234B5A80A3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O14</xm:sqref>
        </x14:conditionalFormatting>
        <x14:conditionalFormatting xmlns:xm="http://schemas.microsoft.com/office/excel/2006/main">
          <x14:cfRule type="iconSet" priority="9" id="{F499C43D-A1CC-4643-A42F-F22BBD1D431F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O15</xm:sqref>
        </x14:conditionalFormatting>
        <x14:conditionalFormatting xmlns:xm="http://schemas.microsoft.com/office/excel/2006/main">
          <x14:cfRule type="iconSet" priority="8" id="{BA311975-CFCD-41DC-8FF8-2D493CD7B31F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O20:O21</xm:sqref>
        </x14:conditionalFormatting>
        <x14:conditionalFormatting xmlns:xm="http://schemas.microsoft.com/office/excel/2006/main">
          <x14:cfRule type="iconSet" priority="6" id="{2E414A1F-A1BD-4752-A6D0-3D8F15CD167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O27</xm:sqref>
        </x14:conditionalFormatting>
        <x14:conditionalFormatting xmlns:xm="http://schemas.microsoft.com/office/excel/2006/main">
          <x14:cfRule type="iconSet" priority="4" id="{D3A5A4C4-B356-471B-B7AD-64DD1FA3834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O28</xm:sqref>
        </x14:conditionalFormatting>
        <x14:conditionalFormatting xmlns:xm="http://schemas.microsoft.com/office/excel/2006/main">
          <x14:cfRule type="iconSet" priority="3" id="{77AE51B7-0721-4160-9A64-A16C2112B6F6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O26</xm:sqref>
        </x14:conditionalFormatting>
        <x14:conditionalFormatting xmlns:xm="http://schemas.microsoft.com/office/excel/2006/main">
          <x14:cfRule type="iconSet" priority="2" id="{59543945-08E3-4C45-BD00-43780DEA399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J9:J15 J18:J21 J24:J28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FORMULARIOS </vt:lpstr>
      <vt:lpstr>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Lil-Ledesma</dc:creator>
  <cp:lastModifiedBy>Lil-Ledesma</cp:lastModifiedBy>
  <dcterms:created xsi:type="dcterms:W3CDTF">2023-05-21T21:19:50Z</dcterms:created>
  <dcterms:modified xsi:type="dcterms:W3CDTF">2023-06-02T05:36:03Z</dcterms:modified>
</cp:coreProperties>
</file>